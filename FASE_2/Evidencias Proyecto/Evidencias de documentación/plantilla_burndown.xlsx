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  <sheet state="visible" name="Sprint 2" sheetId="2" r:id="rId5"/>
    <sheet state="visible" name="Sprint 3" sheetId="3" r:id="rId6"/>
    <sheet state="visible" name="Sprint 4" sheetId="4" r:id="rId7"/>
  </sheets>
  <definedNames/>
  <calcPr/>
  <extLst>
    <ext uri="GoogleSheetsCustomDataVersion2">
      <go:sheetsCustomData xmlns:go="http://customooxmlschemas.google.com/" r:id="rId8" roundtripDataChecksum="+S/6yfkGGQdk7VWTG/XdaxV+u/15bFgmK0DcUUfjXzs="/>
    </ext>
  </extLst>
</workbook>
</file>

<file path=xl/sharedStrings.xml><?xml version="1.0" encoding="utf-8"?>
<sst xmlns="http://schemas.openxmlformats.org/spreadsheetml/2006/main" count="60" uniqueCount="37">
  <si>
    <t>Control del Sprint 3</t>
  </si>
  <si>
    <t>Control del Sprint 2</t>
  </si>
  <si>
    <t>Historias de Usuario o Spike</t>
  </si>
  <si>
    <t>horas estimadas</t>
  </si>
  <si>
    <t>DIA</t>
  </si>
  <si>
    <t>Total</t>
  </si>
  <si>
    <t>E1-H1 Fijar la Arquitectura</t>
  </si>
  <si>
    <t>Control del Sprint 1</t>
  </si>
  <si>
    <t>E1-H2 Maqueta de Código</t>
  </si>
  <si>
    <t>E2-H1 Plan de Pruebas</t>
  </si>
  <si>
    <t>E2-H1 crear repositorio y vincular vs code en github</t>
  </si>
  <si>
    <t>E2-H2 Hito de Entrega</t>
  </si>
  <si>
    <t>H1-T1 Análisis: definir campos y validaciones del registro</t>
  </si>
  <si>
    <t>E2-H2 Iniciar con el front y backend</t>
  </si>
  <si>
    <t>E2-H3 Hito de Entrega</t>
  </si>
  <si>
    <t>Reales de producto por realizar</t>
  </si>
  <si>
    <t>H1-T2 Diseño: diseñar formulario de registro en Figma</t>
  </si>
  <si>
    <t>H1-T3 Codificación: implementar modelo Usuario y vista de registro (Django)</t>
  </si>
  <si>
    <t>&lt;</t>
  </si>
  <si>
    <t>Estimadas de producto por realizar</t>
  </si>
  <si>
    <t>H1-T4 Pruebas: validar creación de cuenta y mensajes de error</t>
  </si>
  <si>
    <t>H2-T1 Análisis: definir flujo de autenticación</t>
  </si>
  <si>
    <t>H2-T2 Diseño: diseñar pantalla de inicio de sesión</t>
  </si>
  <si>
    <t>H2-T3 Codificación: implementar vista de login y manejo de sesión</t>
  </si>
  <si>
    <t>Control del Sprint 4</t>
  </si>
  <si>
    <t>H2-T4 Pruebas: validar credenciales correctas e incorrectas</t>
  </si>
  <si>
    <t>H3-T1 Análisis: definir atributos del terreno (ubicación, superficie)</t>
  </si>
  <si>
    <t>H3-T3 Codificación: implementar CRUD de terrenos</t>
  </si>
  <si>
    <t>H3-T4 Pruebas: validar registro y edición de terrenos</t>
  </si>
  <si>
    <t>H4-T1 Análisis: definir relación terreno-cultivo</t>
  </si>
  <si>
    <t>H4-T2 Diseño: modelar entidad Cultivo y su relación con Terreno</t>
  </si>
  <si>
    <t>H4-T3 Codificación: implementar asociación de cultivo a terreno</t>
  </si>
  <si>
    <t>E1-H1 continuar con el trabajo de front y backet</t>
  </si>
  <si>
    <t>H4-T4 Pruebas: validar asociación correcta cultivo-terreno</t>
  </si>
  <si>
    <t>E1-H2 realizar plan de pruebas</t>
  </si>
  <si>
    <t>E2-H1 realizar pruebas</t>
  </si>
  <si>
    <t>E2-H2 corregir defectos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</si>
</sst>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/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1" fillId="0" fontId="2" numFmtId="0" xfId="0" applyBorder="1" applyFont="1"/>
    <xf borderId="6" fillId="0" fontId="3" numFmtId="0" xfId="0" applyBorder="1" applyFont="1"/>
    <xf borderId="7" fillId="2" fontId="2" numFmtId="0" xfId="0" applyAlignment="1" applyBorder="1" applyFill="1" applyFont="1">
      <alignment readingOrder="0"/>
    </xf>
    <xf borderId="8" fillId="2" fontId="2" numFmtId="0" xfId="0" applyAlignment="1" applyBorder="1" applyFill="1" applyFont="1">
      <alignment horizontal="center" readingOrder="0" shrinkToFit="0" wrapText="1"/>
    </xf>
    <xf borderId="9" fillId="2" fontId="2" numFmtId="0" xfId="0" applyAlignment="1" applyBorder="1" applyFill="1" applyFont="1">
      <alignment readingOrder="0"/>
    </xf>
    <xf borderId="9" fillId="2" fontId="2" numFmtId="0" xfId="0" applyBorder="1" applyFill="1" applyFont="1"/>
    <xf borderId="2" fillId="2" fontId="2" numFmtId="0" xfId="0" applyAlignment="1" applyBorder="1" applyFill="1" applyFont="1">
      <alignment horizontal="center" readingOrder="0" shrinkToFit="0" wrapText="1"/>
    </xf>
    <xf borderId="6" fillId="0" fontId="2" numFmtId="0" xfId="0" applyBorder="1" applyFont="1"/>
    <xf borderId="10" fillId="3" fontId="2" numFmtId="0" xfId="0" applyAlignment="1" applyBorder="1" applyFill="1" applyFont="1">
      <alignment readingOrder="0"/>
    </xf>
    <xf borderId="2" fillId="3" fontId="2" numFmtId="0" xfId="0" applyAlignment="1" applyBorder="1" applyFill="1" applyFont="1">
      <alignment horizontal="center" readingOrder="0" shrinkToFit="0" wrapText="1"/>
    </xf>
    <xf borderId="9" fillId="3" fontId="2" numFmtId="0" xfId="0" applyAlignment="1" applyBorder="1" applyFill="1" applyFont="1">
      <alignment readingOrder="0" shrinkToFit="0" wrapText="1"/>
    </xf>
    <xf borderId="9" fillId="3" fontId="2" numFmtId="0" xfId="0" applyBorder="1" applyFill="1" applyFont="1"/>
    <xf borderId="9" fillId="3" fontId="2" numFmtId="0" xfId="0" applyAlignment="1" applyBorder="1" applyFill="1" applyFont="1">
      <alignment readingOrder="0"/>
    </xf>
    <xf borderId="6" fillId="0" fontId="2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5" fillId="0" fontId="2" numFmtId="0" xfId="0" applyAlignment="1" applyBorder="1" applyFont="1">
      <alignment readingOrder="0"/>
    </xf>
    <xf borderId="9" fillId="2" fontId="2" numFmtId="0" xfId="0" applyAlignment="1" applyBorder="1" applyFill="1" applyFont="1">
      <alignment horizontal="center" readingOrder="0" shrinkToFit="0" wrapText="1"/>
    </xf>
    <xf borderId="9" fillId="0" fontId="2" numFmtId="0" xfId="0" applyBorder="1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shrinkToFit="0" wrapText="1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4" numFmtId="0" xfId="0" applyFont="1"/>
    <xf borderId="7" fillId="2" fontId="2" numFmtId="0" xfId="0" applyAlignment="1" applyBorder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1'!$C$4:$P$4</c:f>
            </c:strRef>
          </c:cat>
          <c:val>
            <c:numRef>
              <c:f>'Sprint 1'!$C$5:$P$5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1'!$C$4:$P$4</c:f>
            </c:strRef>
          </c:cat>
          <c:val>
            <c:numRef>
              <c:f>'Sprint 1'!$C$6:$P$6</c:f>
              <c:numCache/>
            </c:numRef>
          </c:val>
          <c:smooth val="0"/>
        </c:ser>
        <c:ser>
          <c:idx val="2"/>
          <c:order val="2"/>
          <c:tx>
            <c:strRef>
              <c:f>'Sprint 1'!$B$7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'Sprint 1'!$C$4:$P$4</c:f>
            </c:strRef>
          </c:cat>
          <c:val>
            <c:numRef>
              <c:f>'Sprint 1'!$C$7:$P$7</c:f>
              <c:numCache/>
            </c:numRef>
          </c:val>
          <c:smooth val="0"/>
        </c:ser>
        <c:ser>
          <c:idx val="3"/>
          <c:order val="3"/>
          <c:tx>
            <c:strRef>
              <c:f>'Sprint 1'!$B$8</c:f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'Sprint 1'!$C$4:$P$4</c:f>
            </c:strRef>
          </c:cat>
          <c:val>
            <c:numRef>
              <c:f>'Sprint 1'!$C$8:$P$8</c:f>
              <c:numCache/>
            </c:numRef>
          </c:val>
          <c:smooth val="0"/>
        </c:ser>
        <c:ser>
          <c:idx val="4"/>
          <c:order val="4"/>
          <c:tx>
            <c:strRef>
              <c:f>'Sprint 1'!$B$9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'Sprint 1'!$C$4:$P$4</c:f>
            </c:strRef>
          </c:cat>
          <c:val>
            <c:numRef>
              <c:f>'Sprint 1'!$C$9:$P$9</c:f>
              <c:numCache/>
            </c:numRef>
          </c:val>
          <c:smooth val="0"/>
        </c:ser>
        <c:ser>
          <c:idx val="5"/>
          <c:order val="5"/>
          <c:tx>
            <c:strRef>
              <c:f>'Sprint 1'!$B$10</c:f>
            </c:strRef>
          </c:tx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'Sprint 1'!$C$4:$P$4</c:f>
            </c:strRef>
          </c:cat>
          <c:val>
            <c:numRef>
              <c:f>'Sprint 1'!$C$10:$P$10</c:f>
              <c:numCache/>
            </c:numRef>
          </c:val>
          <c:smooth val="0"/>
        </c:ser>
        <c:ser>
          <c:idx val="6"/>
          <c:order val="6"/>
          <c:tx>
            <c:strRef>
              <c:f>'Sprint 1'!$B$11</c:f>
            </c:strRef>
          </c:tx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cat>
            <c:strRef>
              <c:f>'Sprint 1'!$C$4:$P$4</c:f>
            </c:strRef>
          </c:cat>
          <c:val>
            <c:numRef>
              <c:f>'Sprint 1'!$C$11:$P$11</c:f>
              <c:numCache/>
            </c:numRef>
          </c:val>
          <c:smooth val="0"/>
        </c:ser>
        <c:axId val="782280693"/>
        <c:axId val="540609387"/>
      </c:lineChart>
      <c:catAx>
        <c:axId val="7822806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40609387"/>
      </c:catAx>
      <c:valAx>
        <c:axId val="5406093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8228069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2'!$C$4:$P$4</c:f>
            </c:strRef>
          </c:cat>
          <c:val>
            <c:numRef>
              <c:f>'Sprint 2'!$C$5:$P$5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2'!$C$4:$P$4</c:f>
            </c:strRef>
          </c:cat>
          <c:val>
            <c:numRef>
              <c:f>'Sprint 2'!$C$6:$P$6</c:f>
              <c:numCache/>
            </c:numRef>
          </c:val>
          <c:smooth val="0"/>
        </c:ser>
        <c:ser>
          <c:idx val="2"/>
          <c:order val="2"/>
          <c:tx>
            <c:strRef>
              <c:f>'Sprint 2'!$B$7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'Sprint 2'!$C$4:$P$4</c:f>
            </c:strRef>
          </c:cat>
          <c:val>
            <c:numRef>
              <c:f>'Sprint 2'!$C$7:$P$7</c:f>
              <c:numCache/>
            </c:numRef>
          </c:val>
          <c:smooth val="0"/>
        </c:ser>
        <c:ser>
          <c:idx val="3"/>
          <c:order val="3"/>
          <c:tx>
            <c:strRef>
              <c:f>'Sprint 2'!$B$8</c:f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'Sprint 2'!$C$4:$P$4</c:f>
            </c:strRef>
          </c:cat>
          <c:val>
            <c:numRef>
              <c:f>'Sprint 2'!$C$8:$P$8</c:f>
              <c:numCache/>
            </c:numRef>
          </c:val>
          <c:smooth val="0"/>
        </c:ser>
        <c:ser>
          <c:idx val="4"/>
          <c:order val="4"/>
          <c:tx>
            <c:strRef>
              <c:f>'Sprint 2'!$B$9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'Sprint 2'!$C$4:$P$4</c:f>
            </c:strRef>
          </c:cat>
          <c:val>
            <c:numRef>
              <c:f>'Sprint 2'!$C$9:$P$9</c:f>
              <c:numCache/>
            </c:numRef>
          </c:val>
          <c:smooth val="0"/>
        </c:ser>
        <c:ser>
          <c:idx val="5"/>
          <c:order val="5"/>
          <c:tx>
            <c:strRef>
              <c:f>'Sprint 2'!$B$10</c:f>
            </c:strRef>
          </c:tx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'Sprint 2'!$C$4:$P$4</c:f>
            </c:strRef>
          </c:cat>
          <c:val>
            <c:numRef>
              <c:f>'Sprint 2'!$C$10:$P$10</c:f>
              <c:numCache/>
            </c:numRef>
          </c:val>
          <c:smooth val="0"/>
        </c:ser>
        <c:axId val="670645184"/>
        <c:axId val="2059793699"/>
      </c:lineChart>
      <c:catAx>
        <c:axId val="670645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59793699"/>
      </c:catAx>
      <c:valAx>
        <c:axId val="20597936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7064518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3'!$C$4:$P$4</c:f>
            </c:strRef>
          </c:cat>
          <c:val>
            <c:numRef>
              <c:f>'Sprint 3'!$C$5:$P$5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3'!$C$4:$P$4</c:f>
            </c:strRef>
          </c:cat>
          <c:val>
            <c:numRef>
              <c:f>'Sprint 3'!$C$6:$P$6</c:f>
              <c:numCache/>
            </c:numRef>
          </c:val>
          <c:smooth val="0"/>
        </c:ser>
        <c:ser>
          <c:idx val="2"/>
          <c:order val="2"/>
          <c:tx>
            <c:strRef>
              <c:f>'Sprint 3'!$B$7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'Sprint 3'!$C$4:$P$4</c:f>
            </c:strRef>
          </c:cat>
          <c:val>
            <c:numRef>
              <c:f>'Sprint 3'!$C$7:$P$7</c:f>
              <c:numCache/>
            </c:numRef>
          </c:val>
          <c:smooth val="0"/>
        </c:ser>
        <c:ser>
          <c:idx val="3"/>
          <c:order val="3"/>
          <c:tx>
            <c:strRef>
              <c:f>'Sprint 3'!$B$8</c:f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'Sprint 3'!$C$4:$P$4</c:f>
            </c:strRef>
          </c:cat>
          <c:val>
            <c:numRef>
              <c:f>'Sprint 3'!$C$8:$P$8</c:f>
              <c:numCache/>
            </c:numRef>
          </c:val>
          <c:smooth val="0"/>
        </c:ser>
        <c:ser>
          <c:idx val="4"/>
          <c:order val="4"/>
          <c:tx>
            <c:strRef>
              <c:f>'Sprint 3'!$B$9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'Sprint 3'!$C$4:$P$4</c:f>
            </c:strRef>
          </c:cat>
          <c:val>
            <c:numRef>
              <c:f>'Sprint 3'!$C$9:$P$9</c:f>
              <c:numCache/>
            </c:numRef>
          </c:val>
          <c:smooth val="0"/>
        </c:ser>
        <c:ser>
          <c:idx val="5"/>
          <c:order val="5"/>
          <c:tx>
            <c:strRef>
              <c:f>'Sprint 3'!$B$10</c:f>
            </c:strRef>
          </c:tx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'Sprint 3'!$C$4:$P$4</c:f>
            </c:strRef>
          </c:cat>
          <c:val>
            <c:numRef>
              <c:f>'Sprint 3'!$C$10:$P$10</c:f>
              <c:numCache/>
            </c:numRef>
          </c:val>
          <c:smooth val="0"/>
        </c:ser>
        <c:ser>
          <c:idx val="6"/>
          <c:order val="6"/>
          <c:tx>
            <c:strRef>
              <c:f>'Sprint 3'!$B$11</c:f>
            </c:strRef>
          </c:tx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cat>
            <c:strRef>
              <c:f>'Sprint 3'!$C$4:$P$4</c:f>
            </c:strRef>
          </c:cat>
          <c:val>
            <c:numRef>
              <c:f>'Sprint 3'!$C$11:$P$11</c:f>
              <c:numCache/>
            </c:numRef>
          </c:val>
          <c:smooth val="0"/>
        </c:ser>
        <c:axId val="4482256"/>
        <c:axId val="2026978106"/>
      </c:lineChart>
      <c:catAx>
        <c:axId val="4482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26978106"/>
      </c:catAx>
      <c:valAx>
        <c:axId val="20269781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48225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4'!$C$4:$P$4</c:f>
            </c:strRef>
          </c:cat>
          <c:val>
            <c:numRef>
              <c:f>'Sprint 4'!$C$5:$P$5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4'!$C$4:$P$4</c:f>
            </c:strRef>
          </c:cat>
          <c:val>
            <c:numRef>
              <c:f>'Sprint 4'!$C$6:$P$6</c:f>
              <c:numCache/>
            </c:numRef>
          </c:val>
          <c:smooth val="0"/>
        </c:ser>
        <c:ser>
          <c:idx val="2"/>
          <c:order val="2"/>
          <c:tx>
            <c:strRef>
              <c:f>'Sprint 4'!$B$7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'Sprint 4'!$C$4:$P$4</c:f>
            </c:strRef>
          </c:cat>
          <c:val>
            <c:numRef>
              <c:f>'Sprint 4'!$C$7:$P$7</c:f>
              <c:numCache/>
            </c:numRef>
          </c:val>
          <c:smooth val="0"/>
        </c:ser>
        <c:ser>
          <c:idx val="3"/>
          <c:order val="3"/>
          <c:tx>
            <c:strRef>
              <c:f>'Sprint 4'!$B$8</c:f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'Sprint 4'!$C$4:$P$4</c:f>
            </c:strRef>
          </c:cat>
          <c:val>
            <c:numRef>
              <c:f>'Sprint 4'!$C$8:$P$8</c:f>
              <c:numCache/>
            </c:numRef>
          </c:val>
          <c:smooth val="0"/>
        </c:ser>
        <c:ser>
          <c:idx val="4"/>
          <c:order val="4"/>
          <c:tx>
            <c:strRef>
              <c:f>'Sprint 4'!$B$9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'Sprint 4'!$C$4:$P$4</c:f>
            </c:strRef>
          </c:cat>
          <c:val>
            <c:numRef>
              <c:f>'Sprint 4'!$C$9:$P$9</c:f>
              <c:numCache/>
            </c:numRef>
          </c:val>
          <c:smooth val="0"/>
        </c:ser>
        <c:ser>
          <c:idx val="5"/>
          <c:order val="5"/>
          <c:tx>
            <c:strRef>
              <c:f>'Sprint 4'!$B$10</c:f>
            </c:strRef>
          </c:tx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'Sprint 4'!$C$4:$P$4</c:f>
            </c:strRef>
          </c:cat>
          <c:val>
            <c:numRef>
              <c:f>'Sprint 4'!$C$10:$P$10</c:f>
              <c:numCache/>
            </c:numRef>
          </c:val>
          <c:smooth val="0"/>
        </c:ser>
        <c:axId val="731631186"/>
        <c:axId val="959766212"/>
      </c:lineChart>
      <c:catAx>
        <c:axId val="7316311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59766212"/>
      </c:catAx>
      <c:valAx>
        <c:axId val="9597662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3163118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161925</xdr:colOff>
      <xdr:row>1</xdr:row>
      <xdr:rowOff>142875</xdr:rowOff>
    </xdr:from>
    <xdr:ext cx="3524250" cy="3257550"/>
    <xdr:graphicFrame>
      <xdr:nvGraphicFramePr>
        <xdr:cNvPr id="783435519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161925</xdr:colOff>
      <xdr:row>1</xdr:row>
      <xdr:rowOff>142875</xdr:rowOff>
    </xdr:from>
    <xdr:ext cx="3524250" cy="3257550"/>
    <xdr:graphicFrame>
      <xdr:nvGraphicFramePr>
        <xdr:cNvPr id="38998596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161925</xdr:colOff>
      <xdr:row>1</xdr:row>
      <xdr:rowOff>142875</xdr:rowOff>
    </xdr:from>
    <xdr:ext cx="3524250" cy="3257550"/>
    <xdr:graphicFrame>
      <xdr:nvGraphicFramePr>
        <xdr:cNvPr id="181116566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161925</xdr:colOff>
      <xdr:row>1</xdr:row>
      <xdr:rowOff>142875</xdr:rowOff>
    </xdr:from>
    <xdr:ext cx="3524250" cy="3257550"/>
    <xdr:graphicFrame>
      <xdr:nvGraphicFramePr>
        <xdr:cNvPr id="382238596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8.29"/>
    <col customWidth="1" min="2" max="2" width="17.0"/>
    <col customWidth="1" min="3" max="12" width="5.43"/>
    <col customWidth="1" min="13" max="15" width="4.86"/>
    <col customWidth="1" min="16" max="16" width="6.14"/>
    <col customWidth="1" min="17" max="23" width="10.71"/>
  </cols>
  <sheetData>
    <row r="1">
      <c r="A1" s="1" t="s">
        <v>7</v>
      </c>
    </row>
    <row r="3">
      <c r="A3" s="2" t="s">
        <v>2</v>
      </c>
      <c r="B3" s="2" t="s">
        <v>3</v>
      </c>
      <c r="C3" s="3" t="s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2" t="s">
        <v>5</v>
      </c>
    </row>
    <row r="4">
      <c r="A4" s="6"/>
      <c r="B4" s="6"/>
      <c r="C4" s="7">
        <v>1.0</v>
      </c>
      <c r="D4" s="7">
        <v>2.0</v>
      </c>
      <c r="E4" s="7">
        <v>3.0</v>
      </c>
      <c r="F4" s="7">
        <v>4.0</v>
      </c>
      <c r="G4" s="7">
        <v>5.0</v>
      </c>
      <c r="H4" s="7">
        <v>6.0</v>
      </c>
      <c r="I4" s="7">
        <v>7.0</v>
      </c>
      <c r="J4" s="7">
        <v>8.0</v>
      </c>
      <c r="K4" s="7">
        <v>9.0</v>
      </c>
      <c r="L4" s="7">
        <v>10.0</v>
      </c>
      <c r="M4" s="7">
        <v>11.0</v>
      </c>
      <c r="N4" s="7">
        <v>12.0</v>
      </c>
      <c r="O4" s="7">
        <v>13.0</v>
      </c>
      <c r="P4" s="7">
        <v>14.0</v>
      </c>
      <c r="Q4" s="8"/>
    </row>
    <row r="5">
      <c r="A5" s="21" t="s">
        <v>12</v>
      </c>
      <c r="B5" s="10">
        <v>2.0</v>
      </c>
      <c r="C5" s="11">
        <v>3.0</v>
      </c>
      <c r="D5" s="11"/>
      <c r="E5" s="11"/>
      <c r="F5" s="11"/>
      <c r="G5" s="11"/>
      <c r="H5" s="11"/>
      <c r="I5" s="11"/>
      <c r="J5" s="11"/>
      <c r="K5" s="11"/>
      <c r="L5" s="11"/>
      <c r="M5" s="12"/>
      <c r="N5" s="12"/>
      <c r="O5" s="12"/>
      <c r="P5" s="12"/>
      <c r="Q5" s="7">
        <f t="shared" ref="Q5:Q20" si="1">SUM(C5:P5)</f>
        <v>3</v>
      </c>
    </row>
    <row r="6">
      <c r="A6" s="21" t="s">
        <v>16</v>
      </c>
      <c r="B6" s="13">
        <v>2.0</v>
      </c>
      <c r="C6" s="11"/>
      <c r="D6" s="11">
        <v>2.0</v>
      </c>
      <c r="E6" s="11"/>
      <c r="F6" s="11"/>
      <c r="G6" s="11"/>
      <c r="H6" s="12"/>
      <c r="I6" s="11"/>
      <c r="J6" s="12"/>
      <c r="K6" s="12"/>
      <c r="L6" s="12"/>
      <c r="M6" s="12"/>
      <c r="N6" s="12"/>
      <c r="O6" s="12"/>
      <c r="P6" s="12"/>
      <c r="Q6" s="14">
        <f t="shared" si="1"/>
        <v>2</v>
      </c>
    </row>
    <row r="7">
      <c r="A7" s="21" t="s">
        <v>17</v>
      </c>
      <c r="B7" s="16"/>
      <c r="C7" s="18"/>
      <c r="D7" s="19"/>
      <c r="E7" s="19">
        <v>4.0</v>
      </c>
      <c r="F7" s="19"/>
      <c r="G7" s="19"/>
      <c r="H7" s="19"/>
      <c r="I7" s="19"/>
      <c r="J7" s="19"/>
      <c r="K7" s="18"/>
      <c r="L7" s="18"/>
      <c r="M7" s="18"/>
      <c r="N7" s="18"/>
      <c r="O7" s="18"/>
      <c r="P7" s="18"/>
      <c r="Q7" s="14">
        <f t="shared" si="1"/>
        <v>4</v>
      </c>
    </row>
    <row r="8">
      <c r="A8" s="21" t="s">
        <v>20</v>
      </c>
      <c r="B8" s="16"/>
      <c r="C8" s="18"/>
      <c r="D8" s="19"/>
      <c r="E8" s="18"/>
      <c r="F8" s="19">
        <v>3.0</v>
      </c>
      <c r="G8" s="19"/>
      <c r="H8" s="18"/>
      <c r="I8" s="19"/>
      <c r="J8" s="19"/>
      <c r="K8" s="19"/>
      <c r="L8" s="19"/>
      <c r="M8" s="19"/>
      <c r="N8" s="18"/>
      <c r="O8" s="18"/>
      <c r="P8" s="18"/>
      <c r="Q8" s="14">
        <f t="shared" si="1"/>
        <v>3</v>
      </c>
    </row>
    <row r="9">
      <c r="A9" s="21" t="s">
        <v>21</v>
      </c>
      <c r="B9" s="16"/>
      <c r="C9" s="18"/>
      <c r="D9" s="18"/>
      <c r="E9" s="19"/>
      <c r="F9" s="18"/>
      <c r="G9" s="19">
        <v>3.0</v>
      </c>
      <c r="H9" s="18"/>
      <c r="I9" s="18"/>
      <c r="J9" s="18"/>
      <c r="K9" s="19"/>
      <c r="L9" s="19"/>
      <c r="M9" s="19"/>
      <c r="N9" s="18"/>
      <c r="O9" s="18"/>
      <c r="P9" s="18"/>
      <c r="Q9" s="14">
        <f t="shared" si="1"/>
        <v>3</v>
      </c>
    </row>
    <row r="10">
      <c r="A10" s="21" t="s">
        <v>22</v>
      </c>
      <c r="B10" s="16"/>
      <c r="C10" s="19"/>
      <c r="D10" s="18"/>
      <c r="E10" s="18"/>
      <c r="F10" s="18"/>
      <c r="G10" s="18"/>
      <c r="H10" s="18"/>
      <c r="I10" s="18"/>
      <c r="J10" s="18"/>
      <c r="K10" s="18"/>
      <c r="L10" s="19"/>
      <c r="M10" s="19"/>
      <c r="N10" s="18"/>
      <c r="O10" s="18"/>
      <c r="P10" s="18"/>
      <c r="Q10" s="14">
        <f t="shared" si="1"/>
        <v>0</v>
      </c>
    </row>
    <row r="11">
      <c r="A11" s="21" t="s">
        <v>23</v>
      </c>
      <c r="B11" s="23">
        <v>4.0</v>
      </c>
      <c r="C11" s="12"/>
      <c r="D11" s="11"/>
      <c r="E11" s="11"/>
      <c r="F11" s="12"/>
      <c r="G11" s="12"/>
      <c r="H11" s="12"/>
      <c r="I11" s="12"/>
      <c r="J11" s="12"/>
      <c r="K11" s="12"/>
      <c r="L11" s="12"/>
      <c r="M11" s="12"/>
      <c r="N11" s="11"/>
      <c r="O11" s="11"/>
      <c r="P11" s="12"/>
      <c r="Q11" s="14">
        <f t="shared" si="1"/>
        <v>0</v>
      </c>
    </row>
    <row r="12">
      <c r="A12" s="21" t="s">
        <v>25</v>
      </c>
      <c r="B12" s="23">
        <v>2.0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1"/>
      <c r="Q12" s="14">
        <f t="shared" si="1"/>
        <v>0</v>
      </c>
    </row>
    <row r="13">
      <c r="B13" s="23">
        <v>2.0</v>
      </c>
      <c r="C13" s="11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1"/>
      <c r="Q13" s="14">
        <f t="shared" si="1"/>
        <v>0</v>
      </c>
    </row>
    <row r="14">
      <c r="A14" s="21" t="s">
        <v>26</v>
      </c>
      <c r="B14" s="23">
        <v>2.0</v>
      </c>
      <c r="C14" s="11"/>
      <c r="D14" s="12"/>
      <c r="E14" s="11"/>
      <c r="F14" s="11"/>
      <c r="G14" s="12"/>
      <c r="H14" s="12"/>
      <c r="I14" s="12"/>
      <c r="J14" s="12"/>
      <c r="K14" s="12"/>
      <c r="L14" s="12"/>
      <c r="M14" s="12"/>
      <c r="N14" s="12"/>
      <c r="O14" s="12"/>
      <c r="P14" s="11"/>
      <c r="Q14" s="14">
        <f t="shared" si="1"/>
        <v>0</v>
      </c>
    </row>
    <row r="15">
      <c r="A15" s="21" t="s">
        <v>27</v>
      </c>
      <c r="B15" s="23">
        <v>5.0</v>
      </c>
      <c r="C15" s="12"/>
      <c r="D15" s="12"/>
      <c r="E15" s="12"/>
      <c r="F15" s="12"/>
      <c r="G15" s="12"/>
      <c r="H15" s="11"/>
      <c r="I15" s="12"/>
      <c r="J15" s="12"/>
      <c r="K15" s="12"/>
      <c r="L15" s="12"/>
      <c r="M15" s="12"/>
      <c r="N15" s="12"/>
      <c r="O15" s="12"/>
      <c r="P15" s="11"/>
      <c r="Q15" s="14">
        <f t="shared" si="1"/>
        <v>0</v>
      </c>
      <c r="W15" s="21" t="s">
        <v>18</v>
      </c>
    </row>
    <row r="16">
      <c r="A16" s="21" t="s">
        <v>28</v>
      </c>
      <c r="B16" s="23">
        <v>2.0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1"/>
      <c r="Q16" s="14">
        <f t="shared" si="1"/>
        <v>0</v>
      </c>
    </row>
    <row r="17">
      <c r="A17" s="21" t="s">
        <v>29</v>
      </c>
      <c r="B17" s="23">
        <v>1.0</v>
      </c>
      <c r="C17" s="12"/>
      <c r="D17" s="12"/>
      <c r="E17" s="12"/>
      <c r="F17" s="11"/>
      <c r="G17" s="12"/>
      <c r="H17" s="12"/>
      <c r="I17" s="12"/>
      <c r="J17" s="12"/>
      <c r="K17" s="12"/>
      <c r="L17" s="12"/>
      <c r="M17" s="12"/>
      <c r="N17" s="12"/>
      <c r="O17" s="12"/>
      <c r="P17" s="11"/>
      <c r="Q17" s="14">
        <f t="shared" si="1"/>
        <v>0</v>
      </c>
    </row>
    <row r="18">
      <c r="A18" s="21" t="s">
        <v>30</v>
      </c>
      <c r="B18" s="23">
        <v>2.0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1"/>
      <c r="Q18" s="14">
        <f t="shared" si="1"/>
        <v>0</v>
      </c>
    </row>
    <row r="19">
      <c r="A19" s="21" t="s">
        <v>31</v>
      </c>
      <c r="B19" s="23">
        <v>4.0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1"/>
      <c r="Q19" s="14">
        <f t="shared" si="1"/>
        <v>0</v>
      </c>
    </row>
    <row r="20">
      <c r="A20" s="21" t="s">
        <v>33</v>
      </c>
      <c r="B20" s="23">
        <v>2.0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1"/>
      <c r="Q20" s="14">
        <f t="shared" si="1"/>
        <v>0</v>
      </c>
    </row>
    <row r="21">
      <c r="A21" s="27"/>
      <c r="B21" s="26"/>
      <c r="C21" s="27"/>
      <c r="D21" s="27"/>
      <c r="E21" s="27"/>
      <c r="F21" s="27"/>
      <c r="G21" s="26"/>
      <c r="H21" s="27"/>
      <c r="I21" s="27"/>
    </row>
    <row r="23" ht="15.75" customHeight="1"/>
    <row r="24" ht="15.75" customHeight="1"/>
    <row r="25" ht="15.75" customHeight="1">
      <c r="A25" s="27"/>
      <c r="B25" s="26"/>
      <c r="C25" s="27"/>
      <c r="D25" s="27"/>
      <c r="E25" s="27"/>
      <c r="F25" s="27"/>
      <c r="G25" s="27"/>
      <c r="H25" s="27"/>
      <c r="I25" s="27"/>
    </row>
    <row r="26" ht="15.75" customHeight="1">
      <c r="A26" s="27"/>
      <c r="B26" s="26"/>
      <c r="C26" s="27"/>
      <c r="D26" s="27"/>
      <c r="E26" s="27"/>
      <c r="F26" s="27"/>
      <c r="G26" s="27"/>
      <c r="H26" s="27"/>
      <c r="I26" s="27"/>
    </row>
    <row r="27" ht="15.75" customHeight="1">
      <c r="A27" s="27"/>
      <c r="B27" s="26"/>
      <c r="C27" s="27"/>
      <c r="D27" s="27"/>
      <c r="E27" s="27"/>
      <c r="F27" s="27"/>
      <c r="G27" s="27"/>
      <c r="H27" s="27"/>
      <c r="I27" s="27"/>
    </row>
    <row r="28" ht="15.75" customHeight="1"/>
    <row r="29" ht="15.75" customHeight="1"/>
    <row r="30" ht="15.75" customHeight="1"/>
    <row r="31" ht="15.75" customHeight="1">
      <c r="A31" s="28" t="s">
        <v>15</v>
      </c>
      <c r="B31" s="29">
        <f>SUM(B5:B20)</f>
        <v>30</v>
      </c>
      <c r="C31" s="29">
        <f t="shared" ref="C31:P31" si="2">B31-SUM(C5:C20)</f>
        <v>27</v>
      </c>
      <c r="D31" s="29">
        <f t="shared" si="2"/>
        <v>25</v>
      </c>
      <c r="E31" s="29">
        <f t="shared" si="2"/>
        <v>21</v>
      </c>
      <c r="F31" s="29">
        <f t="shared" si="2"/>
        <v>18</v>
      </c>
      <c r="G31" s="29">
        <f t="shared" si="2"/>
        <v>15</v>
      </c>
      <c r="H31" s="29">
        <f t="shared" si="2"/>
        <v>15</v>
      </c>
      <c r="I31" s="29">
        <f t="shared" si="2"/>
        <v>15</v>
      </c>
      <c r="J31" s="29">
        <f t="shared" si="2"/>
        <v>15</v>
      </c>
      <c r="K31" s="29">
        <f t="shared" si="2"/>
        <v>15</v>
      </c>
      <c r="L31" s="29">
        <f t="shared" si="2"/>
        <v>15</v>
      </c>
      <c r="M31" s="29">
        <f t="shared" si="2"/>
        <v>15</v>
      </c>
      <c r="N31" s="29">
        <f t="shared" si="2"/>
        <v>15</v>
      </c>
      <c r="O31" s="29">
        <f t="shared" si="2"/>
        <v>15</v>
      </c>
      <c r="P31" s="29">
        <f t="shared" si="2"/>
        <v>15</v>
      </c>
    </row>
    <row r="32" ht="15.75" customHeight="1"/>
    <row r="33" ht="15.75" customHeight="1">
      <c r="A33" s="28" t="s">
        <v>19</v>
      </c>
      <c r="B33" s="29">
        <f>SUM(B5:B20)</f>
        <v>30</v>
      </c>
      <c r="C33" s="21">
        <f t="shared" ref="C33:P33" si="3">B33-(SUM($B$5:$B$20)/10)</f>
        <v>27</v>
      </c>
      <c r="D33" s="21">
        <f t="shared" si="3"/>
        <v>24</v>
      </c>
      <c r="E33" s="21">
        <f t="shared" si="3"/>
        <v>21</v>
      </c>
      <c r="F33" s="21">
        <f t="shared" si="3"/>
        <v>18</v>
      </c>
      <c r="G33" s="21">
        <f t="shared" si="3"/>
        <v>15</v>
      </c>
      <c r="H33" s="21">
        <f t="shared" si="3"/>
        <v>12</v>
      </c>
      <c r="I33" s="21">
        <f t="shared" si="3"/>
        <v>9</v>
      </c>
      <c r="J33" s="21">
        <f t="shared" si="3"/>
        <v>6</v>
      </c>
      <c r="K33" s="21">
        <f t="shared" si="3"/>
        <v>3</v>
      </c>
      <c r="L33" s="21">
        <f t="shared" si="3"/>
        <v>0</v>
      </c>
      <c r="M33" s="21">
        <f t="shared" si="3"/>
        <v>-3</v>
      </c>
      <c r="N33" s="21">
        <f t="shared" si="3"/>
        <v>-6</v>
      </c>
      <c r="O33" s="21">
        <f t="shared" si="3"/>
        <v>-9</v>
      </c>
      <c r="P33" s="21">
        <f t="shared" si="3"/>
        <v>-12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4">
    <mergeCell ref="A3:A4"/>
    <mergeCell ref="B3:B4"/>
    <mergeCell ref="C3:P3"/>
    <mergeCell ref="Q3:Q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14"/>
    <col customWidth="1" min="2" max="2" width="17.0"/>
    <col customWidth="1" min="3" max="12" width="5.43"/>
    <col customWidth="1" min="13" max="15" width="4.86"/>
    <col customWidth="1" min="16" max="16" width="6.14"/>
    <col customWidth="1" min="17" max="23" width="10.71"/>
  </cols>
  <sheetData>
    <row r="1">
      <c r="A1" s="1" t="s">
        <v>1</v>
      </c>
    </row>
    <row r="3">
      <c r="A3" s="2" t="s">
        <v>2</v>
      </c>
      <c r="B3" s="2" t="s">
        <v>3</v>
      </c>
      <c r="C3" s="3" t="s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2" t="s">
        <v>5</v>
      </c>
    </row>
    <row r="4">
      <c r="A4" s="6"/>
      <c r="B4" s="6"/>
      <c r="C4" s="7">
        <v>1.0</v>
      </c>
      <c r="D4" s="7">
        <v>2.0</v>
      </c>
      <c r="E4" s="7">
        <v>3.0</v>
      </c>
      <c r="F4" s="7">
        <v>4.0</v>
      </c>
      <c r="G4" s="7">
        <v>5.0</v>
      </c>
      <c r="H4" s="7">
        <v>6.0</v>
      </c>
      <c r="I4" s="7">
        <v>7.0</v>
      </c>
      <c r="J4" s="7">
        <v>8.0</v>
      </c>
      <c r="K4" s="7">
        <v>9.0</v>
      </c>
      <c r="L4" s="7">
        <v>10.0</v>
      </c>
      <c r="M4" s="7">
        <v>11.0</v>
      </c>
      <c r="N4" s="7">
        <v>12.0</v>
      </c>
      <c r="O4" s="7">
        <v>13.0</v>
      </c>
      <c r="P4" s="7">
        <v>14.0</v>
      </c>
      <c r="Q4" s="8"/>
    </row>
    <row r="5">
      <c r="A5" s="9" t="s">
        <v>6</v>
      </c>
      <c r="B5" s="10">
        <v>30.0</v>
      </c>
      <c r="C5" s="11">
        <v>5.0</v>
      </c>
      <c r="D5" s="11">
        <v>5.0</v>
      </c>
      <c r="E5" s="11">
        <v>5.0</v>
      </c>
      <c r="F5" s="11">
        <v>5.0</v>
      </c>
      <c r="G5" s="11">
        <v>6.0</v>
      </c>
      <c r="H5" s="11">
        <v>4.0</v>
      </c>
      <c r="I5" s="11"/>
      <c r="J5" s="11"/>
      <c r="K5" s="11"/>
      <c r="L5" s="11"/>
      <c r="M5" s="12"/>
      <c r="N5" s="12"/>
      <c r="O5" s="12"/>
      <c r="P5" s="12"/>
      <c r="Q5" s="7">
        <f t="shared" ref="Q5:Q8" si="1">SUM(C5:P5)</f>
        <v>30</v>
      </c>
    </row>
    <row r="6">
      <c r="A6" s="11" t="s">
        <v>8</v>
      </c>
      <c r="B6" s="13">
        <v>10.0</v>
      </c>
      <c r="C6" s="11"/>
      <c r="D6" s="11"/>
      <c r="E6" s="11"/>
      <c r="F6" s="11"/>
      <c r="G6" s="11"/>
      <c r="H6" s="12"/>
      <c r="I6" s="11">
        <v>3.0</v>
      </c>
      <c r="J6" s="11">
        <v>5.0</v>
      </c>
      <c r="K6" s="11">
        <v>2.0</v>
      </c>
      <c r="L6" s="12"/>
      <c r="M6" s="12"/>
      <c r="N6" s="12"/>
      <c r="O6" s="12"/>
      <c r="P6" s="12"/>
      <c r="Q6" s="14">
        <f t="shared" si="1"/>
        <v>10</v>
      </c>
    </row>
    <row r="7">
      <c r="A7" s="15" t="s">
        <v>9</v>
      </c>
      <c r="B7" s="16">
        <v>12.0</v>
      </c>
      <c r="C7" s="18"/>
      <c r="D7" s="19"/>
      <c r="E7" s="18"/>
      <c r="F7" s="19"/>
      <c r="G7" s="19"/>
      <c r="H7" s="19"/>
      <c r="I7" s="19"/>
      <c r="J7" s="19"/>
      <c r="K7" s="18"/>
      <c r="L7" s="19">
        <v>5.0</v>
      </c>
      <c r="M7" s="19">
        <v>5.0</v>
      </c>
      <c r="N7" s="19">
        <v>2.0</v>
      </c>
      <c r="O7" s="18"/>
      <c r="P7" s="18"/>
      <c r="Q7" s="14">
        <f t="shared" si="1"/>
        <v>12</v>
      </c>
    </row>
    <row r="8">
      <c r="A8" s="19" t="s">
        <v>11</v>
      </c>
      <c r="B8" s="16">
        <v>12.0</v>
      </c>
      <c r="C8" s="18"/>
      <c r="D8" s="19"/>
      <c r="E8" s="18"/>
      <c r="F8" s="18"/>
      <c r="G8" s="19"/>
      <c r="H8" s="18"/>
      <c r="I8" s="19"/>
      <c r="J8" s="19"/>
      <c r="K8" s="19"/>
      <c r="L8" s="19"/>
      <c r="M8" s="19"/>
      <c r="N8" s="18"/>
      <c r="O8" s="19">
        <v>5.0</v>
      </c>
      <c r="P8" s="19">
        <v>5.0</v>
      </c>
      <c r="Q8" s="14">
        <f t="shared" si="1"/>
        <v>10</v>
      </c>
    </row>
    <row r="9">
      <c r="A9" s="19"/>
      <c r="B9" s="16"/>
      <c r="C9" s="18"/>
      <c r="D9" s="18"/>
      <c r="E9" s="19"/>
      <c r="F9" s="18"/>
      <c r="G9" s="18"/>
      <c r="H9" s="18"/>
      <c r="I9" s="18"/>
      <c r="J9" s="18"/>
      <c r="K9" s="19"/>
      <c r="L9" s="19"/>
      <c r="M9" s="19"/>
      <c r="N9" s="18"/>
      <c r="O9" s="18"/>
      <c r="P9" s="18"/>
      <c r="Q9" s="20">
        <v>0.0</v>
      </c>
    </row>
    <row r="10">
      <c r="A10" s="19"/>
      <c r="B10" s="16"/>
      <c r="C10" s="18"/>
      <c r="D10" s="18"/>
      <c r="E10" s="18"/>
      <c r="F10" s="18"/>
      <c r="G10" s="18"/>
      <c r="H10" s="18"/>
      <c r="I10" s="18"/>
      <c r="J10" s="18"/>
      <c r="K10" s="18"/>
      <c r="L10" s="19"/>
      <c r="M10" s="19"/>
      <c r="N10" s="18"/>
      <c r="O10" s="18"/>
      <c r="P10" s="18"/>
      <c r="Q10" s="22">
        <v>0.0</v>
      </c>
    </row>
    <row r="11">
      <c r="A11" s="11"/>
      <c r="B11" s="23"/>
      <c r="C11" s="12"/>
      <c r="D11" s="11"/>
      <c r="E11" s="11"/>
      <c r="F11" s="12"/>
      <c r="G11" s="12"/>
      <c r="H11" s="12"/>
      <c r="I11" s="12"/>
      <c r="J11" s="12"/>
      <c r="K11" s="12"/>
      <c r="L11" s="12"/>
      <c r="M11" s="12"/>
      <c r="N11" s="11"/>
      <c r="O11" s="11"/>
      <c r="P11" s="12"/>
      <c r="Q11" s="24">
        <f t="shared" ref="Q11:Q12" si="2">SUM(C11:P11)</f>
        <v>0</v>
      </c>
    </row>
    <row r="12">
      <c r="A12" s="11"/>
      <c r="B12" s="2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1"/>
      <c r="Q12" s="24">
        <f t="shared" si="2"/>
        <v>0</v>
      </c>
    </row>
    <row r="13">
      <c r="A13" s="25"/>
      <c r="B13" s="26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</row>
    <row r="15">
      <c r="A15" s="28" t="s">
        <v>15</v>
      </c>
      <c r="B15" s="29">
        <f>SUM(B5:B14)</f>
        <v>64</v>
      </c>
      <c r="C15" s="29">
        <f t="shared" ref="C15:L15" si="3">B15-SUM(C5:C10)</f>
        <v>59</v>
      </c>
      <c r="D15" s="29">
        <f t="shared" si="3"/>
        <v>54</v>
      </c>
      <c r="E15" s="29">
        <f t="shared" si="3"/>
        <v>49</v>
      </c>
      <c r="F15" s="29">
        <f t="shared" si="3"/>
        <v>44</v>
      </c>
      <c r="G15" s="29">
        <f t="shared" si="3"/>
        <v>38</v>
      </c>
      <c r="H15" s="29">
        <f t="shared" si="3"/>
        <v>34</v>
      </c>
      <c r="I15" s="29">
        <f t="shared" si="3"/>
        <v>31</v>
      </c>
      <c r="J15" s="29">
        <f t="shared" si="3"/>
        <v>26</v>
      </c>
      <c r="K15" s="29">
        <f t="shared" si="3"/>
        <v>24</v>
      </c>
      <c r="L15" s="29">
        <f t="shared" si="3"/>
        <v>19</v>
      </c>
      <c r="W15" s="21" t="s">
        <v>18</v>
      </c>
    </row>
    <row r="17">
      <c r="A17" s="28" t="s">
        <v>19</v>
      </c>
      <c r="B17" s="29">
        <f>SUM(B5:B12)</f>
        <v>64</v>
      </c>
      <c r="C17" s="21">
        <f t="shared" ref="C17:L17" si="4">B17-(SUM($B$5:$B$8)/10)</f>
        <v>57.6</v>
      </c>
      <c r="D17" s="21">
        <f t="shared" si="4"/>
        <v>51.2</v>
      </c>
      <c r="E17" s="21">
        <f t="shared" si="4"/>
        <v>44.8</v>
      </c>
      <c r="F17" s="21">
        <f t="shared" si="4"/>
        <v>38.4</v>
      </c>
      <c r="G17" s="21">
        <f t="shared" si="4"/>
        <v>32</v>
      </c>
      <c r="H17" s="21">
        <f t="shared" si="4"/>
        <v>25.6</v>
      </c>
      <c r="I17" s="21">
        <f t="shared" si="4"/>
        <v>19.2</v>
      </c>
      <c r="J17" s="21">
        <f t="shared" si="4"/>
        <v>12.8</v>
      </c>
      <c r="K17" s="21">
        <f t="shared" si="4"/>
        <v>6.4</v>
      </c>
      <c r="L17" s="21">
        <f t="shared" si="4"/>
        <v>0</v>
      </c>
    </row>
    <row r="19">
      <c r="A19" s="27"/>
      <c r="B19" s="26"/>
      <c r="C19" s="27"/>
      <c r="D19" s="27"/>
      <c r="E19" s="27"/>
      <c r="F19" s="27"/>
      <c r="G19" s="27"/>
      <c r="H19" s="27"/>
      <c r="I19" s="27"/>
    </row>
    <row r="20">
      <c r="A20" s="27"/>
      <c r="B20" s="26"/>
      <c r="C20" s="27"/>
      <c r="D20" s="27"/>
      <c r="E20" s="27"/>
      <c r="F20" s="27"/>
      <c r="G20" s="26"/>
      <c r="H20" s="27"/>
      <c r="I20" s="27"/>
    </row>
    <row r="21">
      <c r="A21" s="27"/>
      <c r="B21" s="26"/>
      <c r="C21" s="27"/>
      <c r="D21" s="27"/>
      <c r="E21" s="27"/>
      <c r="F21" s="27"/>
      <c r="G21" s="26"/>
      <c r="H21" s="27"/>
      <c r="I21" s="27"/>
    </row>
    <row r="22">
      <c r="A22" s="27"/>
      <c r="B22" s="26"/>
      <c r="C22" s="27"/>
      <c r="D22" s="27"/>
      <c r="E22" s="27"/>
      <c r="F22" s="27"/>
      <c r="G22" s="26"/>
      <c r="H22" s="27"/>
      <c r="I22" s="27"/>
    </row>
    <row r="23">
      <c r="A23" s="27"/>
      <c r="B23" s="26"/>
      <c r="C23" s="27"/>
      <c r="D23" s="27"/>
      <c r="E23" s="27"/>
      <c r="F23" s="27"/>
      <c r="G23" s="26"/>
      <c r="H23" s="27"/>
      <c r="I23" s="27"/>
    </row>
    <row r="24" ht="15.75" customHeight="1">
      <c r="A24" s="27"/>
      <c r="B24" s="26"/>
      <c r="C24" s="27"/>
      <c r="D24" s="27"/>
      <c r="E24" s="27"/>
      <c r="F24" s="27"/>
      <c r="G24" s="26"/>
      <c r="H24" s="27"/>
      <c r="I24" s="27"/>
    </row>
    <row r="25" ht="15.75" customHeight="1">
      <c r="A25" s="27"/>
      <c r="B25" s="26"/>
      <c r="C25" s="27"/>
      <c r="D25" s="27"/>
      <c r="E25" s="27"/>
      <c r="F25" s="27"/>
      <c r="G25" s="26"/>
      <c r="H25" s="27"/>
      <c r="I25" s="27"/>
    </row>
    <row r="26" ht="15.75" customHeight="1">
      <c r="A26" s="27"/>
      <c r="B26" s="26"/>
      <c r="C26" s="27"/>
      <c r="D26" s="27"/>
      <c r="E26" s="27"/>
      <c r="F26" s="27"/>
      <c r="G26" s="27"/>
      <c r="H26" s="27"/>
      <c r="I26" s="27"/>
    </row>
    <row r="27" ht="15.75" customHeight="1">
      <c r="A27" s="27"/>
      <c r="B27" s="26"/>
      <c r="C27" s="27"/>
      <c r="D27" s="27"/>
      <c r="E27" s="27"/>
      <c r="F27" s="27"/>
      <c r="G27" s="27"/>
      <c r="H27" s="27"/>
      <c r="I27" s="27"/>
    </row>
    <row r="28" ht="15.75" customHeight="1">
      <c r="A28" s="27"/>
      <c r="B28" s="26"/>
      <c r="C28" s="27"/>
      <c r="D28" s="27"/>
      <c r="E28" s="27"/>
      <c r="F28" s="27"/>
      <c r="G28" s="27"/>
      <c r="H28" s="27"/>
      <c r="I28" s="27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4">
    <mergeCell ref="A3:A4"/>
    <mergeCell ref="B3:B4"/>
    <mergeCell ref="C3:P3"/>
    <mergeCell ref="Q3:Q4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71"/>
    <col customWidth="1" min="2" max="2" width="17.0"/>
    <col customWidth="1" min="3" max="12" width="5.43"/>
    <col customWidth="1" min="13" max="15" width="4.86"/>
    <col customWidth="1" min="16" max="16" width="6.14"/>
    <col customWidth="1" min="17" max="23" width="10.71"/>
  </cols>
  <sheetData>
    <row r="1">
      <c r="A1" s="1" t="s">
        <v>0</v>
      </c>
    </row>
    <row r="3">
      <c r="A3" s="2" t="s">
        <v>2</v>
      </c>
      <c r="B3" s="2" t="s">
        <v>3</v>
      </c>
      <c r="C3" s="3" t="s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2" t="s">
        <v>5</v>
      </c>
    </row>
    <row r="4">
      <c r="A4" s="6"/>
      <c r="B4" s="6"/>
      <c r="C4" s="7">
        <v>1.0</v>
      </c>
      <c r="D4" s="7">
        <v>2.0</v>
      </c>
      <c r="E4" s="7">
        <v>3.0</v>
      </c>
      <c r="F4" s="7">
        <v>4.0</v>
      </c>
      <c r="G4" s="7">
        <v>5.0</v>
      </c>
      <c r="H4" s="7">
        <v>6.0</v>
      </c>
      <c r="I4" s="7">
        <v>7.0</v>
      </c>
      <c r="J4" s="7">
        <v>8.0</v>
      </c>
      <c r="K4" s="7">
        <v>9.0</v>
      </c>
      <c r="L4" s="7">
        <v>10.0</v>
      </c>
      <c r="M4" s="7">
        <v>11.0</v>
      </c>
      <c r="N4" s="7">
        <v>12.0</v>
      </c>
      <c r="O4" s="7">
        <v>13.0</v>
      </c>
      <c r="P4" s="7">
        <v>14.0</v>
      </c>
      <c r="Q4" s="8"/>
    </row>
    <row r="5">
      <c r="A5" s="9" t="s">
        <v>6</v>
      </c>
      <c r="B5" s="10">
        <v>30.0</v>
      </c>
      <c r="C5" s="11">
        <v>5.0</v>
      </c>
      <c r="D5" s="11">
        <v>5.0</v>
      </c>
      <c r="E5" s="11">
        <v>5.0</v>
      </c>
      <c r="F5" s="11">
        <v>5.0</v>
      </c>
      <c r="G5" s="11">
        <v>6.0</v>
      </c>
      <c r="H5" s="11">
        <v>4.0</v>
      </c>
      <c r="I5" s="11"/>
      <c r="J5" s="11"/>
      <c r="K5" s="11"/>
      <c r="L5" s="11"/>
      <c r="M5" s="12"/>
      <c r="N5" s="12"/>
      <c r="O5" s="12"/>
      <c r="P5" s="12"/>
      <c r="Q5" s="7">
        <f t="shared" ref="Q5:Q8" si="1">SUM(C5:P5)</f>
        <v>30</v>
      </c>
    </row>
    <row r="6">
      <c r="A6" s="11" t="s">
        <v>8</v>
      </c>
      <c r="B6" s="13">
        <v>10.0</v>
      </c>
      <c r="C6" s="11"/>
      <c r="D6" s="11"/>
      <c r="E6" s="11"/>
      <c r="F6" s="11"/>
      <c r="G6" s="11"/>
      <c r="H6" s="12"/>
      <c r="I6" s="11">
        <v>5.0</v>
      </c>
      <c r="J6" s="11">
        <v>5.0</v>
      </c>
      <c r="K6" s="11"/>
      <c r="L6" s="12"/>
      <c r="M6" s="12"/>
      <c r="N6" s="12"/>
      <c r="O6" s="12"/>
      <c r="P6" s="12"/>
      <c r="Q6" s="14">
        <f t="shared" si="1"/>
        <v>10</v>
      </c>
    </row>
    <row r="7">
      <c r="A7" s="17" t="s">
        <v>10</v>
      </c>
      <c r="B7" s="16">
        <v>6.0</v>
      </c>
      <c r="C7" s="18"/>
      <c r="D7" s="19"/>
      <c r="E7" s="18"/>
      <c r="F7" s="18"/>
      <c r="G7" s="19"/>
      <c r="H7" s="18"/>
      <c r="I7" s="19"/>
      <c r="J7" s="19"/>
      <c r="K7" s="19">
        <v>6.0</v>
      </c>
      <c r="L7" s="19"/>
      <c r="M7" s="19"/>
      <c r="N7" s="18"/>
      <c r="O7" s="19"/>
      <c r="P7" s="19"/>
      <c r="Q7" s="14">
        <f t="shared" si="1"/>
        <v>6</v>
      </c>
    </row>
    <row r="8">
      <c r="A8" s="15" t="s">
        <v>13</v>
      </c>
      <c r="B8" s="16">
        <v>30.0</v>
      </c>
      <c r="C8" s="18"/>
      <c r="D8" s="19"/>
      <c r="E8" s="18"/>
      <c r="F8" s="19"/>
      <c r="G8" s="19"/>
      <c r="H8" s="19"/>
      <c r="I8" s="19"/>
      <c r="J8" s="19"/>
      <c r="K8" s="19"/>
      <c r="L8" s="19">
        <v>8.0</v>
      </c>
      <c r="M8" s="19">
        <v>8.0</v>
      </c>
      <c r="N8" s="19">
        <v>8.0</v>
      </c>
      <c r="O8" s="19">
        <v>4.0</v>
      </c>
      <c r="P8" s="18"/>
      <c r="Q8" s="14">
        <f t="shared" si="1"/>
        <v>28</v>
      </c>
    </row>
    <row r="9">
      <c r="A9" s="19" t="s">
        <v>14</v>
      </c>
      <c r="B9" s="16">
        <v>6.0</v>
      </c>
      <c r="C9" s="18"/>
      <c r="D9" s="18"/>
      <c r="E9" s="19"/>
      <c r="F9" s="18"/>
      <c r="G9" s="18"/>
      <c r="H9" s="18"/>
      <c r="I9" s="18"/>
      <c r="J9" s="18"/>
      <c r="K9" s="19"/>
      <c r="L9" s="19"/>
      <c r="M9" s="19"/>
      <c r="N9" s="18"/>
      <c r="O9" s="18"/>
      <c r="P9" s="19">
        <v>6.0</v>
      </c>
      <c r="Q9" s="20">
        <v>0.0</v>
      </c>
    </row>
    <row r="10">
      <c r="A10" s="19"/>
      <c r="B10" s="16"/>
      <c r="C10" s="18"/>
      <c r="D10" s="18"/>
      <c r="E10" s="18"/>
      <c r="F10" s="18"/>
      <c r="G10" s="18"/>
      <c r="H10" s="18"/>
      <c r="I10" s="18"/>
      <c r="J10" s="18"/>
      <c r="K10" s="18"/>
      <c r="L10" s="19"/>
      <c r="M10" s="19"/>
      <c r="N10" s="18"/>
      <c r="O10" s="18"/>
      <c r="P10" s="18"/>
      <c r="Q10" s="22">
        <v>0.0</v>
      </c>
    </row>
    <row r="11">
      <c r="A11" s="11"/>
      <c r="B11" s="23"/>
      <c r="C11" s="12"/>
      <c r="D11" s="11"/>
      <c r="E11" s="11"/>
      <c r="F11" s="12"/>
      <c r="G11" s="12"/>
      <c r="H11" s="12"/>
      <c r="I11" s="12"/>
      <c r="J11" s="12"/>
      <c r="K11" s="12"/>
      <c r="L11" s="12"/>
      <c r="M11" s="12"/>
      <c r="N11" s="11"/>
      <c r="O11" s="11"/>
      <c r="P11" s="12"/>
      <c r="Q11" s="24">
        <f t="shared" ref="Q11:Q12" si="2">SUM(C11:P11)</f>
        <v>0</v>
      </c>
    </row>
    <row r="12">
      <c r="A12" s="11"/>
      <c r="B12" s="2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1"/>
      <c r="Q12" s="24">
        <f t="shared" si="2"/>
        <v>0</v>
      </c>
    </row>
    <row r="13">
      <c r="A13" s="25"/>
      <c r="B13" s="26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</row>
    <row r="15">
      <c r="A15" s="28" t="s">
        <v>15</v>
      </c>
      <c r="B15" s="29">
        <f>SUM(B5:B14)</f>
        <v>82</v>
      </c>
      <c r="C15" s="29">
        <f t="shared" ref="C15:L15" si="3">B15-SUM(C5:C10)</f>
        <v>77</v>
      </c>
      <c r="D15" s="29">
        <f t="shared" si="3"/>
        <v>72</v>
      </c>
      <c r="E15" s="29">
        <f t="shared" si="3"/>
        <v>67</v>
      </c>
      <c r="F15" s="29">
        <f t="shared" si="3"/>
        <v>62</v>
      </c>
      <c r="G15" s="29">
        <f t="shared" si="3"/>
        <v>56</v>
      </c>
      <c r="H15" s="29">
        <f t="shared" si="3"/>
        <v>52</v>
      </c>
      <c r="I15" s="29">
        <f t="shared" si="3"/>
        <v>47</v>
      </c>
      <c r="J15" s="29">
        <f t="shared" si="3"/>
        <v>42</v>
      </c>
      <c r="K15" s="29">
        <f t="shared" si="3"/>
        <v>36</v>
      </c>
      <c r="L15" s="29">
        <f t="shared" si="3"/>
        <v>28</v>
      </c>
      <c r="W15" s="21" t="s">
        <v>18</v>
      </c>
    </row>
    <row r="17">
      <c r="A17" s="28" t="s">
        <v>19</v>
      </c>
      <c r="B17" s="29">
        <f>SUM(B5:B12)</f>
        <v>82</v>
      </c>
      <c r="C17" s="21">
        <f t="shared" ref="C17:L17" si="4">B17-(SUM($B$5:$B$7)/10)</f>
        <v>77.4</v>
      </c>
      <c r="D17" s="21">
        <f t="shared" si="4"/>
        <v>72.8</v>
      </c>
      <c r="E17" s="21">
        <f t="shared" si="4"/>
        <v>68.2</v>
      </c>
      <c r="F17" s="21">
        <f t="shared" si="4"/>
        <v>63.6</v>
      </c>
      <c r="G17" s="21">
        <f t="shared" si="4"/>
        <v>59</v>
      </c>
      <c r="H17" s="21">
        <f t="shared" si="4"/>
        <v>54.4</v>
      </c>
      <c r="I17" s="21">
        <f t="shared" si="4"/>
        <v>49.8</v>
      </c>
      <c r="J17" s="21">
        <f t="shared" si="4"/>
        <v>45.2</v>
      </c>
      <c r="K17" s="21">
        <f t="shared" si="4"/>
        <v>40.6</v>
      </c>
      <c r="L17" s="21">
        <f t="shared" si="4"/>
        <v>36</v>
      </c>
    </row>
    <row r="19">
      <c r="A19" s="27"/>
      <c r="B19" s="26"/>
      <c r="C19" s="27"/>
      <c r="D19" s="27"/>
      <c r="E19" s="27"/>
      <c r="F19" s="27"/>
      <c r="G19" s="27"/>
      <c r="H19" s="27"/>
      <c r="I19" s="27"/>
    </row>
    <row r="20">
      <c r="A20" s="27"/>
      <c r="B20" s="26"/>
      <c r="C20" s="27"/>
      <c r="D20" s="27"/>
      <c r="E20" s="27"/>
      <c r="F20" s="27"/>
      <c r="G20" s="26"/>
      <c r="H20" s="27"/>
      <c r="I20" s="27"/>
    </row>
    <row r="21">
      <c r="A21" s="27"/>
      <c r="B21" s="26"/>
      <c r="C21" s="27"/>
      <c r="D21" s="27"/>
      <c r="E21" s="27"/>
      <c r="F21" s="27"/>
      <c r="G21" s="26"/>
      <c r="H21" s="27"/>
      <c r="I21" s="27"/>
    </row>
    <row r="22">
      <c r="A22" s="27"/>
      <c r="B22" s="26"/>
      <c r="C22" s="27"/>
      <c r="D22" s="27"/>
      <c r="E22" s="27"/>
      <c r="F22" s="27"/>
      <c r="G22" s="26"/>
      <c r="H22" s="27"/>
      <c r="I22" s="27"/>
    </row>
    <row r="23">
      <c r="A23" s="27"/>
      <c r="B23" s="26"/>
      <c r="C23" s="27"/>
      <c r="D23" s="27"/>
      <c r="E23" s="27"/>
      <c r="F23" s="27"/>
      <c r="G23" s="26"/>
      <c r="H23" s="27"/>
      <c r="I23" s="27"/>
    </row>
    <row r="24" ht="15.75" customHeight="1">
      <c r="A24" s="27"/>
      <c r="B24" s="26"/>
      <c r="C24" s="27"/>
      <c r="D24" s="27"/>
      <c r="E24" s="27"/>
      <c r="F24" s="27"/>
      <c r="G24" s="26"/>
      <c r="H24" s="27"/>
      <c r="I24" s="27"/>
    </row>
    <row r="25" ht="15.75" customHeight="1">
      <c r="A25" s="27"/>
      <c r="B25" s="26"/>
      <c r="C25" s="27"/>
      <c r="D25" s="27"/>
      <c r="E25" s="27"/>
      <c r="F25" s="27"/>
      <c r="G25" s="26"/>
      <c r="H25" s="27"/>
      <c r="I25" s="27"/>
    </row>
    <row r="26" ht="15.75" customHeight="1">
      <c r="A26" s="27"/>
      <c r="B26" s="26"/>
      <c r="C26" s="27"/>
      <c r="D26" s="27"/>
      <c r="E26" s="27"/>
      <c r="F26" s="27"/>
      <c r="G26" s="27"/>
      <c r="H26" s="27"/>
      <c r="I26" s="27"/>
    </row>
    <row r="27" ht="15.75" customHeight="1">
      <c r="A27" s="27"/>
      <c r="B27" s="26"/>
      <c r="C27" s="27"/>
      <c r="D27" s="27"/>
      <c r="E27" s="27"/>
      <c r="F27" s="27"/>
      <c r="G27" s="27"/>
      <c r="H27" s="27"/>
      <c r="I27" s="27"/>
    </row>
    <row r="28" ht="15.75" customHeight="1">
      <c r="A28" s="27"/>
      <c r="B28" s="26"/>
      <c r="C28" s="27"/>
      <c r="D28" s="27"/>
      <c r="E28" s="27"/>
      <c r="F28" s="27"/>
      <c r="G28" s="27"/>
      <c r="H28" s="27"/>
      <c r="I28" s="27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4">
    <mergeCell ref="A3:A4"/>
    <mergeCell ref="B3:B4"/>
    <mergeCell ref="C3:P3"/>
    <mergeCell ref="Q3:Q4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14"/>
    <col customWidth="1" min="2" max="2" width="17.0"/>
    <col customWidth="1" min="3" max="12" width="5.43"/>
    <col customWidth="1" min="13" max="15" width="4.86"/>
    <col customWidth="1" min="16" max="16" width="6.14"/>
    <col customWidth="1" min="17" max="23" width="10.71"/>
  </cols>
  <sheetData>
    <row r="1">
      <c r="A1" s="1" t="s">
        <v>24</v>
      </c>
    </row>
    <row r="3">
      <c r="A3" s="2" t="s">
        <v>2</v>
      </c>
      <c r="B3" s="2" t="s">
        <v>3</v>
      </c>
      <c r="C3" s="3" t="s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2" t="s">
        <v>5</v>
      </c>
    </row>
    <row r="4">
      <c r="A4" s="6"/>
      <c r="B4" s="6"/>
      <c r="C4" s="7">
        <v>1.0</v>
      </c>
      <c r="D4" s="7">
        <v>2.0</v>
      </c>
      <c r="E4" s="7">
        <v>3.0</v>
      </c>
      <c r="F4" s="7">
        <v>4.0</v>
      </c>
      <c r="G4" s="7">
        <v>5.0</v>
      </c>
      <c r="H4" s="7">
        <v>6.0</v>
      </c>
      <c r="I4" s="7">
        <v>7.0</v>
      </c>
      <c r="J4" s="7">
        <v>8.0</v>
      </c>
      <c r="K4" s="7">
        <v>9.0</v>
      </c>
      <c r="L4" s="7">
        <v>10.0</v>
      </c>
      <c r="M4" s="7">
        <v>11.0</v>
      </c>
      <c r="N4" s="7">
        <v>12.0</v>
      </c>
      <c r="O4" s="7">
        <v>13.0</v>
      </c>
      <c r="P4" s="7">
        <v>14.0</v>
      </c>
      <c r="Q4" s="8"/>
    </row>
    <row r="5">
      <c r="A5" s="30" t="s">
        <v>32</v>
      </c>
      <c r="B5" s="10">
        <v>60.0</v>
      </c>
      <c r="C5" s="11">
        <v>8.0</v>
      </c>
      <c r="D5" s="11">
        <v>8.0</v>
      </c>
      <c r="E5" s="11">
        <v>8.0</v>
      </c>
      <c r="F5" s="11">
        <v>8.0</v>
      </c>
      <c r="G5" s="11">
        <v>8.0</v>
      </c>
      <c r="H5" s="11">
        <v>8.0</v>
      </c>
      <c r="I5" s="11">
        <v>8.0</v>
      </c>
      <c r="J5" s="11"/>
      <c r="K5" s="11"/>
      <c r="L5" s="11"/>
      <c r="M5" s="12"/>
      <c r="N5" s="12"/>
      <c r="O5" s="12"/>
      <c r="P5" s="12"/>
      <c r="Q5" s="7">
        <f t="shared" ref="Q5:Q8" si="1">SUM(C5:P5)</f>
        <v>56</v>
      </c>
    </row>
    <row r="6">
      <c r="A6" s="11" t="s">
        <v>34</v>
      </c>
      <c r="B6" s="13">
        <v>6.0</v>
      </c>
      <c r="C6" s="11"/>
      <c r="D6" s="11"/>
      <c r="E6" s="11"/>
      <c r="F6" s="11"/>
      <c r="G6" s="11"/>
      <c r="H6" s="12"/>
      <c r="I6" s="11"/>
      <c r="J6" s="11">
        <v>6.0</v>
      </c>
      <c r="K6" s="11"/>
      <c r="L6" s="12"/>
      <c r="M6" s="12"/>
      <c r="N6" s="12"/>
      <c r="O6" s="12"/>
      <c r="P6" s="12"/>
      <c r="Q6" s="14">
        <f t="shared" si="1"/>
        <v>6</v>
      </c>
    </row>
    <row r="7">
      <c r="A7" s="15" t="s">
        <v>35</v>
      </c>
      <c r="B7" s="16">
        <v>12.0</v>
      </c>
      <c r="C7" s="18"/>
      <c r="D7" s="19"/>
      <c r="E7" s="18"/>
      <c r="F7" s="19"/>
      <c r="G7" s="19"/>
      <c r="H7" s="19"/>
      <c r="I7" s="19"/>
      <c r="J7" s="19"/>
      <c r="K7" s="19">
        <v>6.0</v>
      </c>
      <c r="L7" s="19">
        <v>6.0</v>
      </c>
      <c r="M7" s="19"/>
      <c r="N7" s="19"/>
      <c r="O7" s="18"/>
      <c r="P7" s="18"/>
      <c r="Q7" s="14">
        <f t="shared" si="1"/>
        <v>12</v>
      </c>
    </row>
    <row r="8">
      <c r="A8" s="19" t="s">
        <v>36</v>
      </c>
      <c r="B8" s="16">
        <v>20.0</v>
      </c>
      <c r="C8" s="18"/>
      <c r="D8" s="19"/>
      <c r="E8" s="18"/>
      <c r="F8" s="18"/>
      <c r="G8" s="19"/>
      <c r="H8" s="18"/>
      <c r="I8" s="19"/>
      <c r="J8" s="19"/>
      <c r="K8" s="19"/>
      <c r="L8" s="19"/>
      <c r="M8" s="19">
        <v>8.0</v>
      </c>
      <c r="N8" s="19">
        <v>8.0</v>
      </c>
      <c r="O8" s="19">
        <v>4.0</v>
      </c>
      <c r="P8" s="19">
        <v>4.0</v>
      </c>
      <c r="Q8" s="14">
        <f t="shared" si="1"/>
        <v>24</v>
      </c>
    </row>
    <row r="9">
      <c r="A9" s="19"/>
      <c r="B9" s="16"/>
      <c r="C9" s="18"/>
      <c r="D9" s="18"/>
      <c r="E9" s="19"/>
      <c r="F9" s="18"/>
      <c r="G9" s="18"/>
      <c r="H9" s="18"/>
      <c r="I9" s="18"/>
      <c r="J9" s="18"/>
      <c r="K9" s="19"/>
      <c r="L9" s="19"/>
      <c r="M9" s="19"/>
      <c r="N9" s="18"/>
      <c r="O9" s="18"/>
      <c r="P9" s="18"/>
      <c r="Q9" s="20">
        <v>0.0</v>
      </c>
    </row>
    <row r="10">
      <c r="A10" s="19"/>
      <c r="B10" s="16"/>
      <c r="C10" s="18"/>
      <c r="D10" s="18"/>
      <c r="E10" s="18"/>
      <c r="F10" s="18"/>
      <c r="G10" s="18"/>
      <c r="H10" s="18"/>
      <c r="I10" s="18"/>
      <c r="J10" s="18"/>
      <c r="K10" s="18"/>
      <c r="L10" s="19"/>
      <c r="M10" s="19"/>
      <c r="N10" s="18"/>
      <c r="O10" s="18"/>
      <c r="P10" s="18"/>
      <c r="Q10" s="22">
        <v>0.0</v>
      </c>
    </row>
    <row r="11">
      <c r="A11" s="11"/>
      <c r="B11" s="23"/>
      <c r="C11" s="12"/>
      <c r="D11" s="11"/>
      <c r="E11" s="11"/>
      <c r="F11" s="12"/>
      <c r="G11" s="12"/>
      <c r="H11" s="12"/>
      <c r="I11" s="12"/>
      <c r="J11" s="12"/>
      <c r="K11" s="12"/>
      <c r="L11" s="12"/>
      <c r="M11" s="12"/>
      <c r="N11" s="11"/>
      <c r="O11" s="11"/>
      <c r="P11" s="12"/>
      <c r="Q11" s="24">
        <f t="shared" ref="Q11:Q12" si="2">SUM(C11:P11)</f>
        <v>0</v>
      </c>
    </row>
    <row r="12">
      <c r="A12" s="11"/>
      <c r="B12" s="2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1"/>
      <c r="Q12" s="24">
        <f t="shared" si="2"/>
        <v>0</v>
      </c>
    </row>
    <row r="13">
      <c r="A13" s="25"/>
      <c r="B13" s="26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</row>
    <row r="15">
      <c r="A15" s="28" t="s">
        <v>15</v>
      </c>
      <c r="B15" s="29">
        <f>SUM(B5:B14)</f>
        <v>98</v>
      </c>
      <c r="C15" s="29">
        <f t="shared" ref="C15:L15" si="3">B15-SUM(C5:C10)</f>
        <v>90</v>
      </c>
      <c r="D15" s="29">
        <f t="shared" si="3"/>
        <v>82</v>
      </c>
      <c r="E15" s="29">
        <f t="shared" si="3"/>
        <v>74</v>
      </c>
      <c r="F15" s="29">
        <f t="shared" si="3"/>
        <v>66</v>
      </c>
      <c r="G15" s="29">
        <f t="shared" si="3"/>
        <v>58</v>
      </c>
      <c r="H15" s="29">
        <f t="shared" si="3"/>
        <v>50</v>
      </c>
      <c r="I15" s="29">
        <f t="shared" si="3"/>
        <v>42</v>
      </c>
      <c r="J15" s="29">
        <f t="shared" si="3"/>
        <v>36</v>
      </c>
      <c r="K15" s="29">
        <f t="shared" si="3"/>
        <v>30</v>
      </c>
      <c r="L15" s="29">
        <f t="shared" si="3"/>
        <v>24</v>
      </c>
      <c r="W15" s="21" t="s">
        <v>18</v>
      </c>
    </row>
    <row r="17">
      <c r="A17" s="28" t="s">
        <v>19</v>
      </c>
      <c r="B17" s="29">
        <f>SUM(B5:B12)</f>
        <v>98</v>
      </c>
      <c r="C17" s="21">
        <f t="shared" ref="C17:L17" si="4">B17-(SUM($B$5:$B$8)/10)</f>
        <v>88.2</v>
      </c>
      <c r="D17" s="21">
        <f t="shared" si="4"/>
        <v>78.4</v>
      </c>
      <c r="E17" s="21">
        <f t="shared" si="4"/>
        <v>68.6</v>
      </c>
      <c r="F17" s="21">
        <f t="shared" si="4"/>
        <v>58.8</v>
      </c>
      <c r="G17" s="21">
        <f t="shared" si="4"/>
        <v>49</v>
      </c>
      <c r="H17" s="21">
        <f t="shared" si="4"/>
        <v>39.2</v>
      </c>
      <c r="I17" s="21">
        <f t="shared" si="4"/>
        <v>29.4</v>
      </c>
      <c r="J17" s="21">
        <f t="shared" si="4"/>
        <v>19.6</v>
      </c>
      <c r="K17" s="21">
        <f t="shared" si="4"/>
        <v>9.8</v>
      </c>
      <c r="L17" s="21">
        <f t="shared" si="4"/>
        <v>0</v>
      </c>
    </row>
    <row r="19">
      <c r="A19" s="27"/>
      <c r="B19" s="26"/>
      <c r="C19" s="27"/>
      <c r="D19" s="27"/>
      <c r="E19" s="27"/>
      <c r="F19" s="27"/>
      <c r="G19" s="27"/>
      <c r="H19" s="27"/>
      <c r="I19" s="27"/>
    </row>
    <row r="20">
      <c r="A20" s="27"/>
      <c r="B20" s="26"/>
      <c r="C20" s="27"/>
      <c r="D20" s="27"/>
      <c r="E20" s="27"/>
      <c r="F20" s="27"/>
      <c r="G20" s="26"/>
      <c r="H20" s="27"/>
      <c r="I20" s="27"/>
    </row>
    <row r="21">
      <c r="A21" s="27"/>
      <c r="B21" s="26"/>
      <c r="C21" s="27"/>
      <c r="D21" s="27"/>
      <c r="E21" s="27"/>
      <c r="F21" s="27"/>
      <c r="G21" s="26"/>
      <c r="H21" s="27"/>
      <c r="I21" s="27"/>
    </row>
    <row r="22">
      <c r="A22" s="27"/>
      <c r="B22" s="26"/>
      <c r="C22" s="27"/>
      <c r="D22" s="27"/>
      <c r="E22" s="27"/>
      <c r="F22" s="27"/>
      <c r="G22" s="26"/>
      <c r="H22" s="27"/>
      <c r="I22" s="27"/>
    </row>
    <row r="23">
      <c r="A23" s="27"/>
      <c r="B23" s="26"/>
      <c r="C23" s="27"/>
      <c r="D23" s="27"/>
      <c r="E23" s="27"/>
      <c r="F23" s="27"/>
      <c r="G23" s="26"/>
      <c r="H23" s="27"/>
      <c r="I23" s="27"/>
    </row>
    <row r="24" ht="15.75" customHeight="1">
      <c r="A24" s="27"/>
      <c r="B24" s="26"/>
      <c r="C24" s="27"/>
      <c r="D24" s="27"/>
      <c r="E24" s="27"/>
      <c r="F24" s="27"/>
      <c r="G24" s="26"/>
      <c r="H24" s="27"/>
      <c r="I24" s="27"/>
    </row>
    <row r="25" ht="15.75" customHeight="1">
      <c r="A25" s="27"/>
      <c r="B25" s="26"/>
      <c r="C25" s="27"/>
      <c r="D25" s="27"/>
      <c r="E25" s="27"/>
      <c r="F25" s="27"/>
      <c r="G25" s="26"/>
      <c r="H25" s="27"/>
      <c r="I25" s="27"/>
    </row>
    <row r="26" ht="15.75" customHeight="1">
      <c r="A26" s="27"/>
      <c r="B26" s="26"/>
      <c r="C26" s="27"/>
      <c r="D26" s="27"/>
      <c r="E26" s="27"/>
      <c r="F26" s="27"/>
      <c r="G26" s="27"/>
      <c r="H26" s="27"/>
      <c r="I26" s="27"/>
    </row>
    <row r="27" ht="15.75" customHeight="1">
      <c r="A27" s="27"/>
      <c r="B27" s="26"/>
      <c r="C27" s="27"/>
      <c r="D27" s="27"/>
      <c r="E27" s="27"/>
      <c r="F27" s="27"/>
      <c r="G27" s="27"/>
      <c r="H27" s="27"/>
      <c r="I27" s="27"/>
    </row>
    <row r="28" ht="15.75" customHeight="1">
      <c r="A28" s="27"/>
      <c r="B28" s="26"/>
      <c r="C28" s="27"/>
      <c r="D28" s="27"/>
      <c r="E28" s="27"/>
      <c r="F28" s="27"/>
      <c r="G28" s="27"/>
      <c r="H28" s="27"/>
      <c r="I28" s="27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4">
    <mergeCell ref="A3:A4"/>
    <mergeCell ref="B3:B4"/>
    <mergeCell ref="C3:P3"/>
    <mergeCell ref="Q3:Q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